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kit\Desktop\Invoice Project\"/>
    </mc:Choice>
  </mc:AlternateContent>
  <xr:revisionPtr revIDLastSave="0" documentId="13_ncr:1_{7E3B56A0-7A1A-46D1-BFB1-BA8AD45BD563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Form_Entry" sheetId="1" r:id="rId1"/>
    <sheet name="Bill" sheetId="2" r:id="rId2"/>
    <sheet name="Db" sheetId="3" r:id="rId3"/>
  </sheets>
  <definedNames>
    <definedName name="ank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" i="2" l="1"/>
  <c r="F11" i="2"/>
  <c r="F12" i="2"/>
  <c r="F13" i="2"/>
  <c r="F14" i="2"/>
  <c r="F15" i="2"/>
  <c r="F16" i="2"/>
  <c r="F2" i="2"/>
  <c r="E4" i="2" l="1"/>
  <c r="D18" i="2" l="1"/>
  <c r="F9" i="2" l="1"/>
  <c r="F17" i="2" l="1"/>
  <c r="F20" i="2" l="1"/>
  <c r="F19" i="2"/>
  <c r="F18" i="2"/>
  <c r="F21" i="2" l="1"/>
</calcChain>
</file>

<file path=xl/sharedStrings.xml><?xml version="1.0" encoding="utf-8"?>
<sst xmlns="http://schemas.openxmlformats.org/spreadsheetml/2006/main" count="106" uniqueCount="55">
  <si>
    <t xml:space="preserve">                   TAX INVOICE</t>
  </si>
  <si>
    <t>Description</t>
  </si>
  <si>
    <t>HSN Code</t>
  </si>
  <si>
    <t>Qty</t>
  </si>
  <si>
    <t>Rate</t>
  </si>
  <si>
    <t>Amount</t>
  </si>
  <si>
    <t>Total</t>
  </si>
  <si>
    <r>
      <rPr>
        <b/>
        <sz val="14"/>
        <color indexed="8"/>
        <rFont val="Calibri"/>
        <family val="2"/>
      </rPr>
      <t>Terms &amp; conditions</t>
    </r>
    <r>
      <rPr>
        <b/>
        <sz val="11"/>
        <color indexed="8"/>
        <rFont val="Calibri"/>
        <family val="2"/>
      </rPr>
      <t xml:space="preserve">
1.
2.
3.
4.
5.
6.</t>
    </r>
  </si>
  <si>
    <t>Add : CGST @</t>
  </si>
  <si>
    <t>Add : SGST @</t>
  </si>
  <si>
    <t>Grand Total</t>
  </si>
  <si>
    <t>For : Business Name</t>
  </si>
  <si>
    <t>Authorised Signatory</t>
  </si>
  <si>
    <t>Party's Mobile: -</t>
  </si>
  <si>
    <t>Party's Name: -</t>
  </si>
  <si>
    <t>Party's Address: -</t>
  </si>
  <si>
    <t xml:space="preserve">DATE : </t>
  </si>
  <si>
    <t xml:space="preserve">Invoice No:-  </t>
  </si>
  <si>
    <t>Date</t>
  </si>
  <si>
    <t>Customer Address</t>
  </si>
  <si>
    <t>Qty.</t>
  </si>
  <si>
    <t>GST in %
(If Applicable)</t>
  </si>
  <si>
    <t>Total Amount</t>
  </si>
  <si>
    <t>Discount</t>
  </si>
  <si>
    <t>Customer Mobile</t>
  </si>
  <si>
    <t>Product</t>
  </si>
  <si>
    <t>Mouse</t>
  </si>
  <si>
    <t>Keyboard</t>
  </si>
  <si>
    <t>Monitor</t>
  </si>
  <si>
    <t>Laptop</t>
  </si>
  <si>
    <t>HDD</t>
  </si>
  <si>
    <t>Pendrive</t>
  </si>
  <si>
    <t>Airdopes</t>
  </si>
  <si>
    <t>Customer Name</t>
  </si>
  <si>
    <t>SSD</t>
  </si>
  <si>
    <t>Invoice No.</t>
  </si>
  <si>
    <t>ankit</t>
  </si>
  <si>
    <t>noida</t>
  </si>
  <si>
    <t>amit kumar</t>
  </si>
  <si>
    <t>z block sector 12</t>
  </si>
  <si>
    <t>M.Sinha</t>
  </si>
  <si>
    <t>Ankit</t>
  </si>
  <si>
    <t>gdhjkgndk</t>
  </si>
  <si>
    <t>anmnaksksksksks</t>
  </si>
  <si>
    <t>ssdsdd</t>
  </si>
  <si>
    <t>llllllllllllllllllllllllllllll</t>
  </si>
  <si>
    <t>lllllllllllllllllllllllllllllll</t>
  </si>
  <si>
    <t>lllllllllllllllllllllllllllllllllllllllllll</t>
  </si>
  <si>
    <t>Ankit Kumar</t>
  </si>
  <si>
    <t>Sector-12 Noida</t>
  </si>
  <si>
    <t>lkjhgfdsa</t>
  </si>
  <si>
    <t>qwertyuiop</t>
  </si>
  <si>
    <t>Msinha</t>
  </si>
  <si>
    <t>sector 12 noida</t>
  </si>
  <si>
    <r>
      <rPr>
        <b/>
        <sz val="36"/>
        <rFont val="Arial"/>
        <family val="2"/>
      </rPr>
      <t>ANKIT STORE</t>
    </r>
    <r>
      <rPr>
        <sz val="26"/>
        <rFont val="Arial"/>
        <family val="2"/>
      </rPr>
      <t xml:space="preserve">
</t>
    </r>
    <r>
      <rPr>
        <sz val="16"/>
        <rFont val="Arial"/>
        <family val="2"/>
      </rPr>
      <t>132 Street, Noida, U.P, 201301</t>
    </r>
    <r>
      <rPr>
        <sz val="12"/>
        <rFont val="Arial"/>
        <family val="2"/>
      </rPr>
      <t xml:space="preserve">
GSTIN: ##A213##5
PAN NO. ##A132##6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</si>
</sst>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-[$₹-861]* #,##0.00_-;\-[$₹-861]* #,##0.00_-;_-[$₹-861]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Book Antiqua"/>
      <family val="1"/>
    </font>
    <font>
      <b/>
      <sz val="22"/>
      <color theme="0"/>
      <name val="Eras Bold ITC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sz val="26"/>
      <name val="Arial"/>
      <family val="2"/>
    </font>
    <font>
      <b/>
      <sz val="36"/>
      <name val="Arial"/>
      <family val="2"/>
    </font>
    <font>
      <sz val="16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4"/>
      <color theme="1"/>
      <name val="Arial"/>
      <family val="2"/>
    </font>
    <font>
      <b/>
      <sz val="11"/>
      <color theme="1"/>
      <name val="Arial"/>
      <family val="2"/>
    </font>
    <font>
      <b/>
      <sz val="10"/>
      <name val="Book Antiqua"/>
      <family val="1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4"/>
      <color indexed="8"/>
      <name val="Calibri"/>
      <family val="2"/>
    </font>
    <font>
      <b/>
      <sz val="12"/>
      <color theme="1"/>
      <name val="Calibri"/>
      <family val="2"/>
    </font>
    <font>
      <b/>
      <sz val="16"/>
      <name val="Arial"/>
      <family val="2"/>
    </font>
    <font>
      <b/>
      <sz val="11"/>
      <name val="Constantia"/>
      <family val="1"/>
    </font>
    <font>
      <b/>
      <i/>
      <sz val="12"/>
      <name val="Arial"/>
      <family val="2"/>
    </font>
    <font>
      <sz val="2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ED1A3B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5">
    <xf numFmtId="0" fontId="0" fillId="0" borderId="0" xfId="0"/>
    <xf numFmtId="0" fontId="3" fillId="0" borderId="0" xfId="0" applyFont="1"/>
    <xf numFmtId="0" fontId="6" fillId="0" borderId="0" xfId="0" applyFont="1"/>
    <xf numFmtId="0" fontId="11" fillId="0" borderId="0" xfId="0" applyFont="1"/>
    <xf numFmtId="0" fontId="2" fillId="0" borderId="12" xfId="0" applyFont="1" applyFill="1" applyBorder="1" applyAlignment="1">
      <alignment vertical="center"/>
    </xf>
    <xf numFmtId="0" fontId="14" fillId="0" borderId="0" xfId="0" applyFont="1"/>
    <xf numFmtId="0" fontId="3" fillId="0" borderId="0" xfId="0" applyFont="1" applyAlignment="1">
      <alignment vertical="center"/>
    </xf>
    <xf numFmtId="0" fontId="2" fillId="0" borderId="4" xfId="0" applyFont="1" applyFill="1" applyBorder="1" applyAlignment="1">
      <alignment vertical="center"/>
    </xf>
    <xf numFmtId="0" fontId="2" fillId="0" borderId="15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43" fontId="2" fillId="0" borderId="9" xfId="1" applyFont="1" applyFill="1" applyBorder="1" applyAlignment="1">
      <alignment horizontal="right" vertical="center"/>
    </xf>
    <xf numFmtId="0" fontId="18" fillId="2" borderId="4" xfId="0" applyFont="1" applyFill="1" applyBorder="1" applyAlignment="1">
      <alignment vertical="center"/>
    </xf>
    <xf numFmtId="0" fontId="0" fillId="2" borderId="5" xfId="0" applyFill="1" applyBorder="1" applyAlignment="1"/>
    <xf numFmtId="43" fontId="18" fillId="2" borderId="6" xfId="1" applyFont="1" applyFill="1" applyBorder="1" applyAlignment="1">
      <alignment horizontal="right" vertical="center"/>
    </xf>
    <xf numFmtId="164" fontId="3" fillId="0" borderId="0" xfId="0" applyNumberFormat="1" applyFont="1" applyAlignment="1">
      <alignment wrapText="1"/>
    </xf>
    <xf numFmtId="0" fontId="3" fillId="0" borderId="0" xfId="0" applyFont="1" applyAlignment="1">
      <alignment wrapText="1"/>
    </xf>
    <xf numFmtId="0" fontId="19" fillId="0" borderId="0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/>
    </xf>
    <xf numFmtId="0" fontId="20" fillId="0" borderId="0" xfId="0" applyFont="1" applyAlignment="1">
      <alignment vertical="center" wrapText="1"/>
    </xf>
    <xf numFmtId="0" fontId="21" fillId="0" borderId="0" xfId="0" applyFont="1" applyAlignment="1">
      <alignment vertical="center"/>
    </xf>
    <xf numFmtId="0" fontId="21" fillId="0" borderId="0" xfId="0" applyFont="1" applyAlignment="1">
      <alignment wrapText="1"/>
    </xf>
    <xf numFmtId="0" fontId="7" fillId="0" borderId="12" xfId="0" applyFont="1" applyBorder="1" applyAlignment="1">
      <alignment horizontal="center" vertical="top" wrapText="1"/>
    </xf>
    <xf numFmtId="0" fontId="13" fillId="0" borderId="10" xfId="0" applyFont="1" applyFill="1" applyBorder="1" applyAlignment="1">
      <alignment horizontal="left" vertical="center"/>
    </xf>
    <xf numFmtId="0" fontId="13" fillId="0" borderId="16" xfId="0" applyFont="1" applyFill="1" applyBorder="1" applyAlignment="1">
      <alignment horizontal="center" vertical="center"/>
    </xf>
    <xf numFmtId="4" fontId="13" fillId="0" borderId="11" xfId="0" applyNumberFormat="1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right" vertical="center" wrapText="1"/>
    </xf>
    <xf numFmtId="0" fontId="12" fillId="0" borderId="12" xfId="0" applyFont="1" applyFill="1" applyBorder="1" applyAlignment="1">
      <alignment horizontal="right" vertical="center" wrapText="1"/>
    </xf>
    <xf numFmtId="0" fontId="12" fillId="0" borderId="4" xfId="0" applyFont="1" applyFill="1" applyBorder="1" applyAlignment="1">
      <alignment horizontal="right" vertical="center" wrapText="1"/>
    </xf>
    <xf numFmtId="0" fontId="2" fillId="0" borderId="13" xfId="0" applyFont="1" applyFill="1" applyBorder="1" applyAlignment="1">
      <alignment horizontal="center" vertical="center"/>
    </xf>
    <xf numFmtId="43" fontId="2" fillId="0" borderId="14" xfId="1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left" vertical="center"/>
    </xf>
    <xf numFmtId="0" fontId="15" fillId="0" borderId="12" xfId="0" applyFont="1" applyFill="1" applyBorder="1" applyAlignment="1">
      <alignment horizontal="left" vertical="center"/>
    </xf>
    <xf numFmtId="14" fontId="5" fillId="2" borderId="3" xfId="0" applyNumberFormat="1" applyFont="1" applyFill="1" applyBorder="1" applyAlignment="1">
      <alignment horizontal="left" wrapText="1"/>
    </xf>
    <xf numFmtId="22" fontId="11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43" fontId="2" fillId="0" borderId="14" xfId="1" applyFont="1" applyFill="1" applyBorder="1" applyAlignment="1">
      <alignment horizontal="right" vertical="center"/>
    </xf>
    <xf numFmtId="0" fontId="2" fillId="3" borderId="17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vertical="center"/>
    </xf>
    <xf numFmtId="43" fontId="2" fillId="3" borderId="18" xfId="1" applyFont="1" applyFill="1" applyBorder="1" applyAlignment="1">
      <alignment horizontal="right" vertical="center"/>
    </xf>
    <xf numFmtId="43" fontId="1" fillId="0" borderId="6" xfId="1" applyFont="1" applyFill="1" applyBorder="1" applyAlignment="1">
      <alignment horizontal="right" vertical="center"/>
    </xf>
    <xf numFmtId="9" fontId="0" fillId="0" borderId="0" xfId="0" applyNumberFormat="1"/>
    <xf numFmtId="9" fontId="0" fillId="0" borderId="0" xfId="2" applyFont="1"/>
    <xf numFmtId="0" fontId="2" fillId="0" borderId="12" xfId="0" applyFont="1" applyFill="1" applyBorder="1" applyAlignment="1">
      <alignment horizontal="left" vertical="center" wrapText="1"/>
    </xf>
    <xf numFmtId="0" fontId="0" fillId="0" borderId="0" xfId="2" applyNumberFormat="1" applyFont="1"/>
    <xf numFmtId="14" fontId="0" fillId="0" borderId="0" xfId="0" applyNumberFormat="1"/>
    <xf numFmtId="14" fontId="5" fillId="3" borderId="3" xfId="0" applyNumberFormat="1" applyFont="1" applyFill="1" applyBorder="1" applyAlignment="1">
      <alignment horizontal="left" wrapText="1"/>
    </xf>
    <xf numFmtId="9" fontId="2" fillId="0" borderId="8" xfId="2" applyFont="1" applyFill="1" applyBorder="1" applyAlignment="1">
      <alignment horizontal="center" vertical="center"/>
    </xf>
    <xf numFmtId="9" fontId="2" fillId="0" borderId="0" xfId="2" applyFont="1" applyFill="1" applyBorder="1" applyAlignment="1">
      <alignment horizontal="center" vertical="center"/>
    </xf>
    <xf numFmtId="9" fontId="2" fillId="0" borderId="5" xfId="2" applyFont="1" applyFill="1" applyBorder="1" applyAlignment="1">
      <alignment horizontal="center" vertical="center"/>
    </xf>
    <xf numFmtId="0" fontId="16" fillId="0" borderId="8" xfId="0" applyFont="1" applyFill="1" applyBorder="1" applyAlignment="1">
      <alignment horizontal="left" vertical="center" wrapText="1"/>
    </xf>
    <xf numFmtId="0" fontId="2" fillId="0" borderId="8" xfId="0" applyFont="1" applyFill="1" applyBorder="1" applyAlignment="1">
      <alignment horizontal="left" vertical="center" wrapText="1"/>
    </xf>
    <xf numFmtId="0" fontId="16" fillId="0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2" fillId="0" borderId="5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left" vertical="top" wrapText="1"/>
    </xf>
    <xf numFmtId="0" fontId="6" fillId="3" borderId="2" xfId="0" applyFont="1" applyFill="1" applyBorder="1" applyAlignment="1">
      <alignment horizontal="left" vertical="top" wrapText="1"/>
    </xf>
    <xf numFmtId="0" fontId="6" fillId="3" borderId="3" xfId="0" applyFont="1" applyFill="1" applyBorder="1" applyAlignment="1">
      <alignment horizontal="left" vertical="top" wrapText="1"/>
    </xf>
    <xf numFmtId="0" fontId="12" fillId="0" borderId="8" xfId="0" applyFont="1" applyFill="1" applyBorder="1" applyAlignment="1">
      <alignment horizontal="left" vertical="center" wrapText="1"/>
    </xf>
    <xf numFmtId="0" fontId="12" fillId="0" borderId="9" xfId="0" applyFont="1" applyFill="1" applyBorder="1" applyAlignment="1">
      <alignment horizontal="left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12" fillId="0" borderId="14" xfId="0" applyFont="1" applyFill="1" applyBorder="1" applyAlignment="1">
      <alignment horizontal="left" vertical="center" wrapText="1"/>
    </xf>
    <xf numFmtId="0" fontId="12" fillId="0" borderId="5" xfId="0" applyFont="1" applyFill="1" applyBorder="1" applyAlignment="1">
      <alignment horizontal="left" vertical="center" wrapText="1"/>
    </xf>
    <xf numFmtId="0" fontId="12" fillId="0" borderId="6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right" vertical="center" wrapText="1"/>
    </xf>
    <xf numFmtId="0" fontId="4" fillId="2" borderId="2" xfId="0" applyFont="1" applyFill="1" applyBorder="1" applyAlignment="1">
      <alignment horizontal="right" vertical="center" wrapText="1"/>
    </xf>
    <xf numFmtId="0" fontId="5" fillId="2" borderId="2" xfId="0" applyFont="1" applyFill="1" applyBorder="1" applyAlignment="1">
      <alignment horizontal="right" wrapText="1"/>
    </xf>
    <xf numFmtId="0" fontId="7" fillId="0" borderId="12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22" fillId="0" borderId="5" xfId="0" applyFont="1" applyBorder="1" applyAlignment="1">
      <alignment horizontal="right" vertical="top" wrapText="1"/>
    </xf>
    <xf numFmtId="0" fontId="22" fillId="0" borderId="5" xfId="0" applyFont="1" applyBorder="1" applyAlignment="1">
      <alignment horizontal="left" vertical="top" wrapText="1"/>
    </xf>
    <xf numFmtId="0" fontId="22" fillId="0" borderId="6" xfId="0" applyFont="1" applyBorder="1" applyAlignment="1">
      <alignment horizontal="left" vertical="top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5</xdr:row>
      <xdr:rowOff>123824</xdr:rowOff>
    </xdr:from>
    <xdr:to>
      <xdr:col>10</xdr:col>
      <xdr:colOff>276225</xdr:colOff>
      <xdr:row>11</xdr:row>
      <xdr:rowOff>114299</xdr:rowOff>
    </xdr:to>
    <xdr:sp macro="[0]!trial" textlink="">
      <xdr:nvSpPr>
        <xdr:cNvPr id="2" name="Oval 1">
          <a:extLst>
            <a:ext uri="{FF2B5EF4-FFF2-40B4-BE49-F238E27FC236}">
              <a16:creationId xmlns:a16="http://schemas.microsoft.com/office/drawing/2014/main" id="{64770C72-2375-4C66-9DF0-C297D6F902F3}"/>
            </a:ext>
          </a:extLst>
        </xdr:cNvPr>
        <xdr:cNvSpPr/>
      </xdr:nvSpPr>
      <xdr:spPr>
        <a:xfrm>
          <a:off x="3848100" y="1095374"/>
          <a:ext cx="2667000" cy="1133475"/>
        </a:xfrm>
        <a:prstGeom prst="ellipse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Generate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523875</xdr:colOff>
      <xdr:row>2</xdr:row>
      <xdr:rowOff>701676</xdr:rowOff>
    </xdr:from>
    <xdr:to>
      <xdr:col>1</xdr:col>
      <xdr:colOff>1543050</xdr:colOff>
      <xdr:row>2</xdr:row>
      <xdr:rowOff>1673080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104" b="-3331"/>
        <a:stretch>
          <a:fillRect/>
        </a:stretch>
      </xdr:blipFill>
      <xdr:spPr bwMode="auto">
        <a:xfrm>
          <a:off x="777875" y="1320801"/>
          <a:ext cx="1019175" cy="9714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"/>
  <sheetViews>
    <sheetView workbookViewId="0">
      <selection activeCell="N12" sqref="N12"/>
    </sheetView>
  </sheetViews>
  <sheetFormatPr defaultRowHeight="15" x14ac:dyDescent="0.25"/>
  <cols>
    <col min="1" max="1" width="11.5703125" bestFit="1" customWidth="1"/>
    <col min="8" max="8" width="9.140625" customWidth="1"/>
    <col min="9" max="9" width="8.85546875" customWidth="1"/>
    <col min="15" max="16" width="0" hidden="1" customWidth="1"/>
  </cols>
  <sheetData>
    <row r="1" spans="1:16" ht="15.75" thickBot="1" x14ac:dyDescent="0.3">
      <c r="O1" t="s">
        <v>26</v>
      </c>
      <c r="P1">
        <v>600</v>
      </c>
    </row>
    <row r="2" spans="1:16" ht="15.75" thickBot="1" x14ac:dyDescent="0.3">
      <c r="A2" s="48"/>
      <c r="O2" t="s">
        <v>27</v>
      </c>
      <c r="P2">
        <v>400</v>
      </c>
    </row>
    <row r="3" spans="1:16" x14ac:dyDescent="0.25">
      <c r="O3" t="s">
        <v>28</v>
      </c>
      <c r="P3">
        <v>12000</v>
      </c>
    </row>
    <row r="4" spans="1:16" x14ac:dyDescent="0.25">
      <c r="O4" t="s">
        <v>29</v>
      </c>
      <c r="P4">
        <v>45000</v>
      </c>
    </row>
    <row r="5" spans="1:16" x14ac:dyDescent="0.25">
      <c r="O5" t="s">
        <v>30</v>
      </c>
      <c r="P5">
        <v>2500</v>
      </c>
    </row>
    <row r="6" spans="1:16" x14ac:dyDescent="0.25">
      <c r="O6" t="s">
        <v>34</v>
      </c>
      <c r="P6">
        <v>5500</v>
      </c>
    </row>
    <row r="7" spans="1:16" x14ac:dyDescent="0.25">
      <c r="O7" t="s">
        <v>31</v>
      </c>
      <c r="P7">
        <v>1500</v>
      </c>
    </row>
    <row r="8" spans="1:16" x14ac:dyDescent="0.25">
      <c r="O8" t="s">
        <v>32</v>
      </c>
      <c r="P8">
        <v>2500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33"/>
  <sheetViews>
    <sheetView tabSelected="1" zoomScale="60" zoomScaleNormal="60" workbookViewId="0">
      <selection activeCell="B3" sqref="B3:F3"/>
    </sheetView>
  </sheetViews>
  <sheetFormatPr defaultRowHeight="13.5" x14ac:dyDescent="0.25"/>
  <cols>
    <col min="1" max="1" width="3.85546875" style="1" customWidth="1"/>
    <col min="2" max="2" width="59.7109375" style="1" customWidth="1"/>
    <col min="3" max="3" width="19" style="2" customWidth="1"/>
    <col min="4" max="4" width="17.7109375" style="1" customWidth="1"/>
    <col min="5" max="5" width="11.85546875" style="1" customWidth="1"/>
    <col min="6" max="6" width="17.42578125" style="15" customWidth="1"/>
    <col min="7" max="11" width="9.140625" style="1"/>
    <col min="12" max="12" width="21.85546875" style="1" bestFit="1" customWidth="1"/>
    <col min="13" max="256" width="9.140625" style="1"/>
    <col min="257" max="257" width="3.85546875" style="1" customWidth="1"/>
    <col min="258" max="258" width="59.7109375" style="1" customWidth="1"/>
    <col min="259" max="259" width="11.85546875" style="1" customWidth="1"/>
    <col min="260" max="260" width="12.7109375" style="1" customWidth="1"/>
    <col min="261" max="261" width="11.85546875" style="1" customWidth="1"/>
    <col min="262" max="262" width="17.42578125" style="1" customWidth="1"/>
    <col min="263" max="512" width="9.140625" style="1"/>
    <col min="513" max="513" width="3.85546875" style="1" customWidth="1"/>
    <col min="514" max="514" width="59.7109375" style="1" customWidth="1"/>
    <col min="515" max="515" width="11.85546875" style="1" customWidth="1"/>
    <col min="516" max="516" width="12.7109375" style="1" customWidth="1"/>
    <col min="517" max="517" width="11.85546875" style="1" customWidth="1"/>
    <col min="518" max="518" width="17.42578125" style="1" customWidth="1"/>
    <col min="519" max="768" width="9.140625" style="1"/>
    <col min="769" max="769" width="3.85546875" style="1" customWidth="1"/>
    <col min="770" max="770" width="59.7109375" style="1" customWidth="1"/>
    <col min="771" max="771" width="11.85546875" style="1" customWidth="1"/>
    <col min="772" max="772" width="12.7109375" style="1" customWidth="1"/>
    <col min="773" max="773" width="11.85546875" style="1" customWidth="1"/>
    <col min="774" max="774" width="17.42578125" style="1" customWidth="1"/>
    <col min="775" max="1024" width="9.140625" style="1"/>
    <col min="1025" max="1025" width="3.85546875" style="1" customWidth="1"/>
    <col min="1026" max="1026" width="59.7109375" style="1" customWidth="1"/>
    <col min="1027" max="1027" width="11.85546875" style="1" customWidth="1"/>
    <col min="1028" max="1028" width="12.7109375" style="1" customWidth="1"/>
    <col min="1029" max="1029" width="11.85546875" style="1" customWidth="1"/>
    <col min="1030" max="1030" width="17.42578125" style="1" customWidth="1"/>
    <col min="1031" max="1280" width="9.140625" style="1"/>
    <col min="1281" max="1281" width="3.85546875" style="1" customWidth="1"/>
    <col min="1282" max="1282" width="59.7109375" style="1" customWidth="1"/>
    <col min="1283" max="1283" width="11.85546875" style="1" customWidth="1"/>
    <col min="1284" max="1284" width="12.7109375" style="1" customWidth="1"/>
    <col min="1285" max="1285" width="11.85546875" style="1" customWidth="1"/>
    <col min="1286" max="1286" width="17.42578125" style="1" customWidth="1"/>
    <col min="1287" max="1536" width="9.140625" style="1"/>
    <col min="1537" max="1537" width="3.85546875" style="1" customWidth="1"/>
    <col min="1538" max="1538" width="59.7109375" style="1" customWidth="1"/>
    <col min="1539" max="1539" width="11.85546875" style="1" customWidth="1"/>
    <col min="1540" max="1540" width="12.7109375" style="1" customWidth="1"/>
    <col min="1541" max="1541" width="11.85546875" style="1" customWidth="1"/>
    <col min="1542" max="1542" width="17.42578125" style="1" customWidth="1"/>
    <col min="1543" max="1792" width="9.140625" style="1"/>
    <col min="1793" max="1793" width="3.85546875" style="1" customWidth="1"/>
    <col min="1794" max="1794" width="59.7109375" style="1" customWidth="1"/>
    <col min="1795" max="1795" width="11.85546875" style="1" customWidth="1"/>
    <col min="1796" max="1796" width="12.7109375" style="1" customWidth="1"/>
    <col min="1797" max="1797" width="11.85546875" style="1" customWidth="1"/>
    <col min="1798" max="1798" width="17.42578125" style="1" customWidth="1"/>
    <col min="1799" max="2048" width="9.140625" style="1"/>
    <col min="2049" max="2049" width="3.85546875" style="1" customWidth="1"/>
    <col min="2050" max="2050" width="59.7109375" style="1" customWidth="1"/>
    <col min="2051" max="2051" width="11.85546875" style="1" customWidth="1"/>
    <col min="2052" max="2052" width="12.7109375" style="1" customWidth="1"/>
    <col min="2053" max="2053" width="11.85546875" style="1" customWidth="1"/>
    <col min="2054" max="2054" width="17.42578125" style="1" customWidth="1"/>
    <col min="2055" max="2304" width="9.140625" style="1"/>
    <col min="2305" max="2305" width="3.85546875" style="1" customWidth="1"/>
    <col min="2306" max="2306" width="59.7109375" style="1" customWidth="1"/>
    <col min="2307" max="2307" width="11.85546875" style="1" customWidth="1"/>
    <col min="2308" max="2308" width="12.7109375" style="1" customWidth="1"/>
    <col min="2309" max="2309" width="11.85546875" style="1" customWidth="1"/>
    <col min="2310" max="2310" width="17.42578125" style="1" customWidth="1"/>
    <col min="2311" max="2560" width="9.140625" style="1"/>
    <col min="2561" max="2561" width="3.85546875" style="1" customWidth="1"/>
    <col min="2562" max="2562" width="59.7109375" style="1" customWidth="1"/>
    <col min="2563" max="2563" width="11.85546875" style="1" customWidth="1"/>
    <col min="2564" max="2564" width="12.7109375" style="1" customWidth="1"/>
    <col min="2565" max="2565" width="11.85546875" style="1" customWidth="1"/>
    <col min="2566" max="2566" width="17.42578125" style="1" customWidth="1"/>
    <col min="2567" max="2816" width="9.140625" style="1"/>
    <col min="2817" max="2817" width="3.85546875" style="1" customWidth="1"/>
    <col min="2818" max="2818" width="59.7109375" style="1" customWidth="1"/>
    <col min="2819" max="2819" width="11.85546875" style="1" customWidth="1"/>
    <col min="2820" max="2820" width="12.7109375" style="1" customWidth="1"/>
    <col min="2821" max="2821" width="11.85546875" style="1" customWidth="1"/>
    <col min="2822" max="2822" width="17.42578125" style="1" customWidth="1"/>
    <col min="2823" max="3072" width="9.140625" style="1"/>
    <col min="3073" max="3073" width="3.85546875" style="1" customWidth="1"/>
    <col min="3074" max="3074" width="59.7109375" style="1" customWidth="1"/>
    <col min="3075" max="3075" width="11.85546875" style="1" customWidth="1"/>
    <col min="3076" max="3076" width="12.7109375" style="1" customWidth="1"/>
    <col min="3077" max="3077" width="11.85546875" style="1" customWidth="1"/>
    <col min="3078" max="3078" width="17.42578125" style="1" customWidth="1"/>
    <col min="3079" max="3328" width="9.140625" style="1"/>
    <col min="3329" max="3329" width="3.85546875" style="1" customWidth="1"/>
    <col min="3330" max="3330" width="59.7109375" style="1" customWidth="1"/>
    <col min="3331" max="3331" width="11.85546875" style="1" customWidth="1"/>
    <col min="3332" max="3332" width="12.7109375" style="1" customWidth="1"/>
    <col min="3333" max="3333" width="11.85546875" style="1" customWidth="1"/>
    <col min="3334" max="3334" width="17.42578125" style="1" customWidth="1"/>
    <col min="3335" max="3584" width="9.140625" style="1"/>
    <col min="3585" max="3585" width="3.85546875" style="1" customWidth="1"/>
    <col min="3586" max="3586" width="59.7109375" style="1" customWidth="1"/>
    <col min="3587" max="3587" width="11.85546875" style="1" customWidth="1"/>
    <col min="3588" max="3588" width="12.7109375" style="1" customWidth="1"/>
    <col min="3589" max="3589" width="11.85546875" style="1" customWidth="1"/>
    <col min="3590" max="3590" width="17.42578125" style="1" customWidth="1"/>
    <col min="3591" max="3840" width="9.140625" style="1"/>
    <col min="3841" max="3841" width="3.85546875" style="1" customWidth="1"/>
    <col min="3842" max="3842" width="59.7109375" style="1" customWidth="1"/>
    <col min="3843" max="3843" width="11.85546875" style="1" customWidth="1"/>
    <col min="3844" max="3844" width="12.7109375" style="1" customWidth="1"/>
    <col min="3845" max="3845" width="11.85546875" style="1" customWidth="1"/>
    <col min="3846" max="3846" width="17.42578125" style="1" customWidth="1"/>
    <col min="3847" max="4096" width="9.140625" style="1"/>
    <col min="4097" max="4097" width="3.85546875" style="1" customWidth="1"/>
    <col min="4098" max="4098" width="59.7109375" style="1" customWidth="1"/>
    <col min="4099" max="4099" width="11.85546875" style="1" customWidth="1"/>
    <col min="4100" max="4100" width="12.7109375" style="1" customWidth="1"/>
    <col min="4101" max="4101" width="11.85546875" style="1" customWidth="1"/>
    <col min="4102" max="4102" width="17.42578125" style="1" customWidth="1"/>
    <col min="4103" max="4352" width="9.140625" style="1"/>
    <col min="4353" max="4353" width="3.85546875" style="1" customWidth="1"/>
    <col min="4354" max="4354" width="59.7109375" style="1" customWidth="1"/>
    <col min="4355" max="4355" width="11.85546875" style="1" customWidth="1"/>
    <col min="4356" max="4356" width="12.7109375" style="1" customWidth="1"/>
    <col min="4357" max="4357" width="11.85546875" style="1" customWidth="1"/>
    <col min="4358" max="4358" width="17.42578125" style="1" customWidth="1"/>
    <col min="4359" max="4608" width="9.140625" style="1"/>
    <col min="4609" max="4609" width="3.85546875" style="1" customWidth="1"/>
    <col min="4610" max="4610" width="59.7109375" style="1" customWidth="1"/>
    <col min="4611" max="4611" width="11.85546875" style="1" customWidth="1"/>
    <col min="4612" max="4612" width="12.7109375" style="1" customWidth="1"/>
    <col min="4613" max="4613" width="11.85546875" style="1" customWidth="1"/>
    <col min="4614" max="4614" width="17.42578125" style="1" customWidth="1"/>
    <col min="4615" max="4864" width="9.140625" style="1"/>
    <col min="4865" max="4865" width="3.85546875" style="1" customWidth="1"/>
    <col min="4866" max="4866" width="59.7109375" style="1" customWidth="1"/>
    <col min="4867" max="4867" width="11.85546875" style="1" customWidth="1"/>
    <col min="4868" max="4868" width="12.7109375" style="1" customWidth="1"/>
    <col min="4869" max="4869" width="11.85546875" style="1" customWidth="1"/>
    <col min="4870" max="4870" width="17.42578125" style="1" customWidth="1"/>
    <col min="4871" max="5120" width="9.140625" style="1"/>
    <col min="5121" max="5121" width="3.85546875" style="1" customWidth="1"/>
    <col min="5122" max="5122" width="59.7109375" style="1" customWidth="1"/>
    <col min="5123" max="5123" width="11.85546875" style="1" customWidth="1"/>
    <col min="5124" max="5124" width="12.7109375" style="1" customWidth="1"/>
    <col min="5125" max="5125" width="11.85546875" style="1" customWidth="1"/>
    <col min="5126" max="5126" width="17.42578125" style="1" customWidth="1"/>
    <col min="5127" max="5376" width="9.140625" style="1"/>
    <col min="5377" max="5377" width="3.85546875" style="1" customWidth="1"/>
    <col min="5378" max="5378" width="59.7109375" style="1" customWidth="1"/>
    <col min="5379" max="5379" width="11.85546875" style="1" customWidth="1"/>
    <col min="5380" max="5380" width="12.7109375" style="1" customWidth="1"/>
    <col min="5381" max="5381" width="11.85546875" style="1" customWidth="1"/>
    <col min="5382" max="5382" width="17.42578125" style="1" customWidth="1"/>
    <col min="5383" max="5632" width="9.140625" style="1"/>
    <col min="5633" max="5633" width="3.85546875" style="1" customWidth="1"/>
    <col min="5634" max="5634" width="59.7109375" style="1" customWidth="1"/>
    <col min="5635" max="5635" width="11.85546875" style="1" customWidth="1"/>
    <col min="5636" max="5636" width="12.7109375" style="1" customWidth="1"/>
    <col min="5637" max="5637" width="11.85546875" style="1" customWidth="1"/>
    <col min="5638" max="5638" width="17.42578125" style="1" customWidth="1"/>
    <col min="5639" max="5888" width="9.140625" style="1"/>
    <col min="5889" max="5889" width="3.85546875" style="1" customWidth="1"/>
    <col min="5890" max="5890" width="59.7109375" style="1" customWidth="1"/>
    <col min="5891" max="5891" width="11.85546875" style="1" customWidth="1"/>
    <col min="5892" max="5892" width="12.7109375" style="1" customWidth="1"/>
    <col min="5893" max="5893" width="11.85546875" style="1" customWidth="1"/>
    <col min="5894" max="5894" width="17.42578125" style="1" customWidth="1"/>
    <col min="5895" max="6144" width="9.140625" style="1"/>
    <col min="6145" max="6145" width="3.85546875" style="1" customWidth="1"/>
    <col min="6146" max="6146" width="59.7109375" style="1" customWidth="1"/>
    <col min="6147" max="6147" width="11.85546875" style="1" customWidth="1"/>
    <col min="6148" max="6148" width="12.7109375" style="1" customWidth="1"/>
    <col min="6149" max="6149" width="11.85546875" style="1" customWidth="1"/>
    <col min="6150" max="6150" width="17.42578125" style="1" customWidth="1"/>
    <col min="6151" max="6400" width="9.140625" style="1"/>
    <col min="6401" max="6401" width="3.85546875" style="1" customWidth="1"/>
    <col min="6402" max="6402" width="59.7109375" style="1" customWidth="1"/>
    <col min="6403" max="6403" width="11.85546875" style="1" customWidth="1"/>
    <col min="6404" max="6404" width="12.7109375" style="1" customWidth="1"/>
    <col min="6405" max="6405" width="11.85546875" style="1" customWidth="1"/>
    <col min="6406" max="6406" width="17.42578125" style="1" customWidth="1"/>
    <col min="6407" max="6656" width="9.140625" style="1"/>
    <col min="6657" max="6657" width="3.85546875" style="1" customWidth="1"/>
    <col min="6658" max="6658" width="59.7109375" style="1" customWidth="1"/>
    <col min="6659" max="6659" width="11.85546875" style="1" customWidth="1"/>
    <col min="6660" max="6660" width="12.7109375" style="1" customWidth="1"/>
    <col min="6661" max="6661" width="11.85546875" style="1" customWidth="1"/>
    <col min="6662" max="6662" width="17.42578125" style="1" customWidth="1"/>
    <col min="6663" max="6912" width="9.140625" style="1"/>
    <col min="6913" max="6913" width="3.85546875" style="1" customWidth="1"/>
    <col min="6914" max="6914" width="59.7109375" style="1" customWidth="1"/>
    <col min="6915" max="6915" width="11.85546875" style="1" customWidth="1"/>
    <col min="6916" max="6916" width="12.7109375" style="1" customWidth="1"/>
    <col min="6917" max="6917" width="11.85546875" style="1" customWidth="1"/>
    <col min="6918" max="6918" width="17.42578125" style="1" customWidth="1"/>
    <col min="6919" max="7168" width="9.140625" style="1"/>
    <col min="7169" max="7169" width="3.85546875" style="1" customWidth="1"/>
    <col min="7170" max="7170" width="59.7109375" style="1" customWidth="1"/>
    <col min="7171" max="7171" width="11.85546875" style="1" customWidth="1"/>
    <col min="7172" max="7172" width="12.7109375" style="1" customWidth="1"/>
    <col min="7173" max="7173" width="11.85546875" style="1" customWidth="1"/>
    <col min="7174" max="7174" width="17.42578125" style="1" customWidth="1"/>
    <col min="7175" max="7424" width="9.140625" style="1"/>
    <col min="7425" max="7425" width="3.85546875" style="1" customWidth="1"/>
    <col min="7426" max="7426" width="59.7109375" style="1" customWidth="1"/>
    <col min="7427" max="7427" width="11.85546875" style="1" customWidth="1"/>
    <col min="7428" max="7428" width="12.7109375" style="1" customWidth="1"/>
    <col min="7429" max="7429" width="11.85546875" style="1" customWidth="1"/>
    <col min="7430" max="7430" width="17.42578125" style="1" customWidth="1"/>
    <col min="7431" max="7680" width="9.140625" style="1"/>
    <col min="7681" max="7681" width="3.85546875" style="1" customWidth="1"/>
    <col min="7682" max="7682" width="59.7109375" style="1" customWidth="1"/>
    <col min="7683" max="7683" width="11.85546875" style="1" customWidth="1"/>
    <col min="7684" max="7684" width="12.7109375" style="1" customWidth="1"/>
    <col min="7685" max="7685" width="11.85546875" style="1" customWidth="1"/>
    <col min="7686" max="7686" width="17.42578125" style="1" customWidth="1"/>
    <col min="7687" max="7936" width="9.140625" style="1"/>
    <col min="7937" max="7937" width="3.85546875" style="1" customWidth="1"/>
    <col min="7938" max="7938" width="59.7109375" style="1" customWidth="1"/>
    <col min="7939" max="7939" width="11.85546875" style="1" customWidth="1"/>
    <col min="7940" max="7940" width="12.7109375" style="1" customWidth="1"/>
    <col min="7941" max="7941" width="11.85546875" style="1" customWidth="1"/>
    <col min="7942" max="7942" width="17.42578125" style="1" customWidth="1"/>
    <col min="7943" max="8192" width="9.140625" style="1"/>
    <col min="8193" max="8193" width="3.85546875" style="1" customWidth="1"/>
    <col min="8194" max="8194" width="59.7109375" style="1" customWidth="1"/>
    <col min="8195" max="8195" width="11.85546875" style="1" customWidth="1"/>
    <col min="8196" max="8196" width="12.7109375" style="1" customWidth="1"/>
    <col min="8197" max="8197" width="11.85546875" style="1" customWidth="1"/>
    <col min="8198" max="8198" width="17.42578125" style="1" customWidth="1"/>
    <col min="8199" max="8448" width="9.140625" style="1"/>
    <col min="8449" max="8449" width="3.85546875" style="1" customWidth="1"/>
    <col min="8450" max="8450" width="59.7109375" style="1" customWidth="1"/>
    <col min="8451" max="8451" width="11.85546875" style="1" customWidth="1"/>
    <col min="8452" max="8452" width="12.7109375" style="1" customWidth="1"/>
    <col min="8453" max="8453" width="11.85546875" style="1" customWidth="1"/>
    <col min="8454" max="8454" width="17.42578125" style="1" customWidth="1"/>
    <col min="8455" max="8704" width="9.140625" style="1"/>
    <col min="8705" max="8705" width="3.85546875" style="1" customWidth="1"/>
    <col min="8706" max="8706" width="59.7109375" style="1" customWidth="1"/>
    <col min="8707" max="8707" width="11.85546875" style="1" customWidth="1"/>
    <col min="8708" max="8708" width="12.7109375" style="1" customWidth="1"/>
    <col min="8709" max="8709" width="11.85546875" style="1" customWidth="1"/>
    <col min="8710" max="8710" width="17.42578125" style="1" customWidth="1"/>
    <col min="8711" max="8960" width="9.140625" style="1"/>
    <col min="8961" max="8961" width="3.85546875" style="1" customWidth="1"/>
    <col min="8962" max="8962" width="59.7109375" style="1" customWidth="1"/>
    <col min="8963" max="8963" width="11.85546875" style="1" customWidth="1"/>
    <col min="8964" max="8964" width="12.7109375" style="1" customWidth="1"/>
    <col min="8965" max="8965" width="11.85546875" style="1" customWidth="1"/>
    <col min="8966" max="8966" width="17.42578125" style="1" customWidth="1"/>
    <col min="8967" max="9216" width="9.140625" style="1"/>
    <col min="9217" max="9217" width="3.85546875" style="1" customWidth="1"/>
    <col min="9218" max="9218" width="59.7109375" style="1" customWidth="1"/>
    <col min="9219" max="9219" width="11.85546875" style="1" customWidth="1"/>
    <col min="9220" max="9220" width="12.7109375" style="1" customWidth="1"/>
    <col min="9221" max="9221" width="11.85546875" style="1" customWidth="1"/>
    <col min="9222" max="9222" width="17.42578125" style="1" customWidth="1"/>
    <col min="9223" max="9472" width="9.140625" style="1"/>
    <col min="9473" max="9473" width="3.85546875" style="1" customWidth="1"/>
    <col min="9474" max="9474" width="59.7109375" style="1" customWidth="1"/>
    <col min="9475" max="9475" width="11.85546875" style="1" customWidth="1"/>
    <col min="9476" max="9476" width="12.7109375" style="1" customWidth="1"/>
    <col min="9477" max="9477" width="11.85546875" style="1" customWidth="1"/>
    <col min="9478" max="9478" width="17.42578125" style="1" customWidth="1"/>
    <col min="9479" max="9728" width="9.140625" style="1"/>
    <col min="9729" max="9729" width="3.85546875" style="1" customWidth="1"/>
    <col min="9730" max="9730" width="59.7109375" style="1" customWidth="1"/>
    <col min="9731" max="9731" width="11.85546875" style="1" customWidth="1"/>
    <col min="9732" max="9732" width="12.7109375" style="1" customWidth="1"/>
    <col min="9733" max="9733" width="11.85546875" style="1" customWidth="1"/>
    <col min="9734" max="9734" width="17.42578125" style="1" customWidth="1"/>
    <col min="9735" max="9984" width="9.140625" style="1"/>
    <col min="9985" max="9985" width="3.85546875" style="1" customWidth="1"/>
    <col min="9986" max="9986" width="59.7109375" style="1" customWidth="1"/>
    <col min="9987" max="9987" width="11.85546875" style="1" customWidth="1"/>
    <col min="9988" max="9988" width="12.7109375" style="1" customWidth="1"/>
    <col min="9989" max="9989" width="11.85546875" style="1" customWidth="1"/>
    <col min="9990" max="9990" width="17.42578125" style="1" customWidth="1"/>
    <col min="9991" max="10240" width="9.140625" style="1"/>
    <col min="10241" max="10241" width="3.85546875" style="1" customWidth="1"/>
    <col min="10242" max="10242" width="59.7109375" style="1" customWidth="1"/>
    <col min="10243" max="10243" width="11.85546875" style="1" customWidth="1"/>
    <col min="10244" max="10244" width="12.7109375" style="1" customWidth="1"/>
    <col min="10245" max="10245" width="11.85546875" style="1" customWidth="1"/>
    <col min="10246" max="10246" width="17.42578125" style="1" customWidth="1"/>
    <col min="10247" max="10496" width="9.140625" style="1"/>
    <col min="10497" max="10497" width="3.85546875" style="1" customWidth="1"/>
    <col min="10498" max="10498" width="59.7109375" style="1" customWidth="1"/>
    <col min="10499" max="10499" width="11.85546875" style="1" customWidth="1"/>
    <col min="10500" max="10500" width="12.7109375" style="1" customWidth="1"/>
    <col min="10501" max="10501" width="11.85546875" style="1" customWidth="1"/>
    <col min="10502" max="10502" width="17.42578125" style="1" customWidth="1"/>
    <col min="10503" max="10752" width="9.140625" style="1"/>
    <col min="10753" max="10753" width="3.85546875" style="1" customWidth="1"/>
    <col min="10754" max="10754" width="59.7109375" style="1" customWidth="1"/>
    <col min="10755" max="10755" width="11.85546875" style="1" customWidth="1"/>
    <col min="10756" max="10756" width="12.7109375" style="1" customWidth="1"/>
    <col min="10757" max="10757" width="11.85546875" style="1" customWidth="1"/>
    <col min="10758" max="10758" width="17.42578125" style="1" customWidth="1"/>
    <col min="10759" max="11008" width="9.140625" style="1"/>
    <col min="11009" max="11009" width="3.85546875" style="1" customWidth="1"/>
    <col min="11010" max="11010" width="59.7109375" style="1" customWidth="1"/>
    <col min="11011" max="11011" width="11.85546875" style="1" customWidth="1"/>
    <col min="11012" max="11012" width="12.7109375" style="1" customWidth="1"/>
    <col min="11013" max="11013" width="11.85546875" style="1" customWidth="1"/>
    <col min="11014" max="11014" width="17.42578125" style="1" customWidth="1"/>
    <col min="11015" max="11264" width="9.140625" style="1"/>
    <col min="11265" max="11265" width="3.85546875" style="1" customWidth="1"/>
    <col min="11266" max="11266" width="59.7109375" style="1" customWidth="1"/>
    <col min="11267" max="11267" width="11.85546875" style="1" customWidth="1"/>
    <col min="11268" max="11268" width="12.7109375" style="1" customWidth="1"/>
    <col min="11269" max="11269" width="11.85546875" style="1" customWidth="1"/>
    <col min="11270" max="11270" width="17.42578125" style="1" customWidth="1"/>
    <col min="11271" max="11520" width="9.140625" style="1"/>
    <col min="11521" max="11521" width="3.85546875" style="1" customWidth="1"/>
    <col min="11522" max="11522" width="59.7109375" style="1" customWidth="1"/>
    <col min="11523" max="11523" width="11.85546875" style="1" customWidth="1"/>
    <col min="11524" max="11524" width="12.7109375" style="1" customWidth="1"/>
    <col min="11525" max="11525" width="11.85546875" style="1" customWidth="1"/>
    <col min="11526" max="11526" width="17.42578125" style="1" customWidth="1"/>
    <col min="11527" max="11776" width="9.140625" style="1"/>
    <col min="11777" max="11777" width="3.85546875" style="1" customWidth="1"/>
    <col min="11778" max="11778" width="59.7109375" style="1" customWidth="1"/>
    <col min="11779" max="11779" width="11.85546875" style="1" customWidth="1"/>
    <col min="11780" max="11780" width="12.7109375" style="1" customWidth="1"/>
    <col min="11781" max="11781" width="11.85546875" style="1" customWidth="1"/>
    <col min="11782" max="11782" width="17.42578125" style="1" customWidth="1"/>
    <col min="11783" max="12032" width="9.140625" style="1"/>
    <col min="12033" max="12033" width="3.85546875" style="1" customWidth="1"/>
    <col min="12034" max="12034" width="59.7109375" style="1" customWidth="1"/>
    <col min="12035" max="12035" width="11.85546875" style="1" customWidth="1"/>
    <col min="12036" max="12036" width="12.7109375" style="1" customWidth="1"/>
    <col min="12037" max="12037" width="11.85546875" style="1" customWidth="1"/>
    <col min="12038" max="12038" width="17.42578125" style="1" customWidth="1"/>
    <col min="12039" max="12288" width="9.140625" style="1"/>
    <col min="12289" max="12289" width="3.85546875" style="1" customWidth="1"/>
    <col min="12290" max="12290" width="59.7109375" style="1" customWidth="1"/>
    <col min="12291" max="12291" width="11.85546875" style="1" customWidth="1"/>
    <col min="12292" max="12292" width="12.7109375" style="1" customWidth="1"/>
    <col min="12293" max="12293" width="11.85546875" style="1" customWidth="1"/>
    <col min="12294" max="12294" width="17.42578125" style="1" customWidth="1"/>
    <col min="12295" max="12544" width="9.140625" style="1"/>
    <col min="12545" max="12545" width="3.85546875" style="1" customWidth="1"/>
    <col min="12546" max="12546" width="59.7109375" style="1" customWidth="1"/>
    <col min="12547" max="12547" width="11.85546875" style="1" customWidth="1"/>
    <col min="12548" max="12548" width="12.7109375" style="1" customWidth="1"/>
    <col min="12549" max="12549" width="11.85546875" style="1" customWidth="1"/>
    <col min="12550" max="12550" width="17.42578125" style="1" customWidth="1"/>
    <col min="12551" max="12800" width="9.140625" style="1"/>
    <col min="12801" max="12801" width="3.85546875" style="1" customWidth="1"/>
    <col min="12802" max="12802" width="59.7109375" style="1" customWidth="1"/>
    <col min="12803" max="12803" width="11.85546875" style="1" customWidth="1"/>
    <col min="12804" max="12804" width="12.7109375" style="1" customWidth="1"/>
    <col min="12805" max="12805" width="11.85546875" style="1" customWidth="1"/>
    <col min="12806" max="12806" width="17.42578125" style="1" customWidth="1"/>
    <col min="12807" max="13056" width="9.140625" style="1"/>
    <col min="13057" max="13057" width="3.85546875" style="1" customWidth="1"/>
    <col min="13058" max="13058" width="59.7109375" style="1" customWidth="1"/>
    <col min="13059" max="13059" width="11.85546875" style="1" customWidth="1"/>
    <col min="13060" max="13060" width="12.7109375" style="1" customWidth="1"/>
    <col min="13061" max="13061" width="11.85546875" style="1" customWidth="1"/>
    <col min="13062" max="13062" width="17.42578125" style="1" customWidth="1"/>
    <col min="13063" max="13312" width="9.140625" style="1"/>
    <col min="13313" max="13313" width="3.85546875" style="1" customWidth="1"/>
    <col min="13314" max="13314" width="59.7109375" style="1" customWidth="1"/>
    <col min="13315" max="13315" width="11.85546875" style="1" customWidth="1"/>
    <col min="13316" max="13316" width="12.7109375" style="1" customWidth="1"/>
    <col min="13317" max="13317" width="11.85546875" style="1" customWidth="1"/>
    <col min="13318" max="13318" width="17.42578125" style="1" customWidth="1"/>
    <col min="13319" max="13568" width="9.140625" style="1"/>
    <col min="13569" max="13569" width="3.85546875" style="1" customWidth="1"/>
    <col min="13570" max="13570" width="59.7109375" style="1" customWidth="1"/>
    <col min="13571" max="13571" width="11.85546875" style="1" customWidth="1"/>
    <col min="13572" max="13572" width="12.7109375" style="1" customWidth="1"/>
    <col min="13573" max="13573" width="11.85546875" style="1" customWidth="1"/>
    <col min="13574" max="13574" width="17.42578125" style="1" customWidth="1"/>
    <col min="13575" max="13824" width="9.140625" style="1"/>
    <col min="13825" max="13825" width="3.85546875" style="1" customWidth="1"/>
    <col min="13826" max="13826" width="59.7109375" style="1" customWidth="1"/>
    <col min="13827" max="13827" width="11.85546875" style="1" customWidth="1"/>
    <col min="13828" max="13828" width="12.7109375" style="1" customWidth="1"/>
    <col min="13829" max="13829" width="11.85546875" style="1" customWidth="1"/>
    <col min="13830" max="13830" width="17.42578125" style="1" customWidth="1"/>
    <col min="13831" max="14080" width="9.140625" style="1"/>
    <col min="14081" max="14081" width="3.85546875" style="1" customWidth="1"/>
    <col min="14082" max="14082" width="59.7109375" style="1" customWidth="1"/>
    <col min="14083" max="14083" width="11.85546875" style="1" customWidth="1"/>
    <col min="14084" max="14084" width="12.7109375" style="1" customWidth="1"/>
    <col min="14085" max="14085" width="11.85546875" style="1" customWidth="1"/>
    <col min="14086" max="14086" width="17.42578125" style="1" customWidth="1"/>
    <col min="14087" max="14336" width="9.140625" style="1"/>
    <col min="14337" max="14337" width="3.85546875" style="1" customWidth="1"/>
    <col min="14338" max="14338" width="59.7109375" style="1" customWidth="1"/>
    <col min="14339" max="14339" width="11.85546875" style="1" customWidth="1"/>
    <col min="14340" max="14340" width="12.7109375" style="1" customWidth="1"/>
    <col min="14341" max="14341" width="11.85546875" style="1" customWidth="1"/>
    <col min="14342" max="14342" width="17.42578125" style="1" customWidth="1"/>
    <col min="14343" max="14592" width="9.140625" style="1"/>
    <col min="14593" max="14593" width="3.85546875" style="1" customWidth="1"/>
    <col min="14594" max="14594" width="59.7109375" style="1" customWidth="1"/>
    <col min="14595" max="14595" width="11.85546875" style="1" customWidth="1"/>
    <col min="14596" max="14596" width="12.7109375" style="1" customWidth="1"/>
    <col min="14597" max="14597" width="11.85546875" style="1" customWidth="1"/>
    <col min="14598" max="14598" width="17.42578125" style="1" customWidth="1"/>
    <col min="14599" max="14848" width="9.140625" style="1"/>
    <col min="14849" max="14849" width="3.85546875" style="1" customWidth="1"/>
    <col min="14850" max="14850" width="59.7109375" style="1" customWidth="1"/>
    <col min="14851" max="14851" width="11.85546875" style="1" customWidth="1"/>
    <col min="14852" max="14852" width="12.7109375" style="1" customWidth="1"/>
    <col min="14853" max="14853" width="11.85546875" style="1" customWidth="1"/>
    <col min="14854" max="14854" width="17.42578125" style="1" customWidth="1"/>
    <col min="14855" max="15104" width="9.140625" style="1"/>
    <col min="15105" max="15105" width="3.85546875" style="1" customWidth="1"/>
    <col min="15106" max="15106" width="59.7109375" style="1" customWidth="1"/>
    <col min="15107" max="15107" width="11.85546875" style="1" customWidth="1"/>
    <col min="15108" max="15108" width="12.7109375" style="1" customWidth="1"/>
    <col min="15109" max="15109" width="11.85546875" style="1" customWidth="1"/>
    <col min="15110" max="15110" width="17.42578125" style="1" customWidth="1"/>
    <col min="15111" max="15360" width="9.140625" style="1"/>
    <col min="15361" max="15361" width="3.85546875" style="1" customWidth="1"/>
    <col min="15362" max="15362" width="59.7109375" style="1" customWidth="1"/>
    <col min="15363" max="15363" width="11.85546875" style="1" customWidth="1"/>
    <col min="15364" max="15364" width="12.7109375" style="1" customWidth="1"/>
    <col min="15365" max="15365" width="11.85546875" style="1" customWidth="1"/>
    <col min="15366" max="15366" width="17.42578125" style="1" customWidth="1"/>
    <col min="15367" max="15616" width="9.140625" style="1"/>
    <col min="15617" max="15617" width="3.85546875" style="1" customWidth="1"/>
    <col min="15618" max="15618" width="59.7109375" style="1" customWidth="1"/>
    <col min="15619" max="15619" width="11.85546875" style="1" customWidth="1"/>
    <col min="15620" max="15620" width="12.7109375" style="1" customWidth="1"/>
    <col min="15621" max="15621" width="11.85546875" style="1" customWidth="1"/>
    <col min="15622" max="15622" width="17.42578125" style="1" customWidth="1"/>
    <col min="15623" max="15872" width="9.140625" style="1"/>
    <col min="15873" max="15873" width="3.85546875" style="1" customWidth="1"/>
    <col min="15874" max="15874" width="59.7109375" style="1" customWidth="1"/>
    <col min="15875" max="15875" width="11.85546875" style="1" customWidth="1"/>
    <col min="15876" max="15876" width="12.7109375" style="1" customWidth="1"/>
    <col min="15877" max="15877" width="11.85546875" style="1" customWidth="1"/>
    <col min="15878" max="15878" width="17.42578125" style="1" customWidth="1"/>
    <col min="15879" max="16128" width="9.140625" style="1"/>
    <col min="16129" max="16129" width="3.85546875" style="1" customWidth="1"/>
    <col min="16130" max="16130" width="59.7109375" style="1" customWidth="1"/>
    <col min="16131" max="16131" width="11.85546875" style="1" customWidth="1"/>
    <col min="16132" max="16132" width="12.7109375" style="1" customWidth="1"/>
    <col min="16133" max="16133" width="11.85546875" style="1" customWidth="1"/>
    <col min="16134" max="16134" width="17.42578125" style="1" customWidth="1"/>
    <col min="16135" max="16384" width="9.140625" style="1"/>
  </cols>
  <sheetData>
    <row r="1" spans="2:12" ht="14.25" thickBot="1" x14ac:dyDescent="0.3"/>
    <row r="2" spans="2:12" ht="36" customHeight="1" thickBot="1" x14ac:dyDescent="0.3">
      <c r="B2" s="66" t="s">
        <v>0</v>
      </c>
      <c r="C2" s="67"/>
      <c r="D2" s="68" t="s">
        <v>16</v>
      </c>
      <c r="E2" s="68"/>
      <c r="F2" s="34" t="str">
        <f ca="1">TEXT(NOW(),"DD-MM-YYYY")</f>
        <v>27-05-2022</v>
      </c>
    </row>
    <row r="3" spans="2:12" s="2" customFormat="1" ht="189.75" customHeight="1" x14ac:dyDescent="0.2">
      <c r="B3" s="69" t="s">
        <v>54</v>
      </c>
      <c r="C3" s="70"/>
      <c r="D3" s="70"/>
      <c r="E3" s="70"/>
      <c r="F3" s="71"/>
    </row>
    <row r="4" spans="2:12" s="2" customFormat="1" ht="72" customHeight="1" thickBot="1" x14ac:dyDescent="0.25">
      <c r="B4" s="22"/>
      <c r="C4" s="72" t="s">
        <v>17</v>
      </c>
      <c r="D4" s="72"/>
      <c r="E4" s="73" t="str">
        <f ca="1">TEXT(F2,"ddmm")&amp;TEXT(NOW(),"hhmm")</f>
        <v>27051433</v>
      </c>
      <c r="F4" s="74"/>
    </row>
    <row r="5" spans="2:12" s="3" customFormat="1" ht="36" customHeight="1" x14ac:dyDescent="0.2">
      <c r="B5" s="26" t="s">
        <v>14</v>
      </c>
      <c r="C5" s="60"/>
      <c r="D5" s="60"/>
      <c r="E5" s="60"/>
      <c r="F5" s="61"/>
      <c r="G5" s="2"/>
      <c r="L5" s="35"/>
    </row>
    <row r="6" spans="2:12" s="3" customFormat="1" ht="36" customHeight="1" x14ac:dyDescent="0.2">
      <c r="B6" s="27" t="s">
        <v>15</v>
      </c>
      <c r="C6" s="62"/>
      <c r="D6" s="62"/>
      <c r="E6" s="62"/>
      <c r="F6" s="63"/>
      <c r="G6" s="2"/>
    </row>
    <row r="7" spans="2:12" s="3" customFormat="1" ht="42.75" customHeight="1" thickBot="1" x14ac:dyDescent="0.25">
      <c r="B7" s="28" t="s">
        <v>13</v>
      </c>
      <c r="C7" s="64"/>
      <c r="D7" s="64"/>
      <c r="E7" s="64"/>
      <c r="F7" s="65"/>
      <c r="G7" s="2"/>
    </row>
    <row r="8" spans="2:12" s="3" customFormat="1" ht="30.75" customHeight="1" x14ac:dyDescent="0.2">
      <c r="B8" s="23" t="s">
        <v>1</v>
      </c>
      <c r="C8" s="24" t="s">
        <v>2</v>
      </c>
      <c r="D8" s="24" t="s">
        <v>3</v>
      </c>
      <c r="E8" s="24" t="s">
        <v>4</v>
      </c>
      <c r="F8" s="25" t="s">
        <v>5</v>
      </c>
      <c r="G8" s="2"/>
    </row>
    <row r="9" spans="2:12" ht="25.5" customHeight="1" x14ac:dyDescent="0.3">
      <c r="B9" s="45"/>
      <c r="C9" s="29"/>
      <c r="D9" s="29"/>
      <c r="E9" s="29"/>
      <c r="F9" s="30" t="str">
        <f>IF(D9*E9=0,"",D9*E9)</f>
        <v/>
      </c>
      <c r="G9" s="5"/>
    </row>
    <row r="10" spans="2:12" ht="25.5" customHeight="1" x14ac:dyDescent="0.3">
      <c r="B10" s="32"/>
      <c r="C10" s="29"/>
      <c r="D10" s="29"/>
      <c r="E10" s="29"/>
      <c r="F10" s="30" t="str">
        <f t="shared" ref="F10:F16" si="0">IF(D10*E10=0,"",D10*E10)</f>
        <v/>
      </c>
      <c r="G10" s="5"/>
    </row>
    <row r="11" spans="2:12" ht="25.5" customHeight="1" x14ac:dyDescent="0.3">
      <c r="B11" s="33"/>
      <c r="C11" s="31"/>
      <c r="D11" s="31"/>
      <c r="E11" s="31"/>
      <c r="F11" s="30" t="str">
        <f t="shared" si="0"/>
        <v/>
      </c>
      <c r="G11" s="5"/>
    </row>
    <row r="12" spans="2:12" ht="25.5" customHeight="1" x14ac:dyDescent="0.3">
      <c r="B12" s="32"/>
      <c r="C12" s="29"/>
      <c r="D12" s="29"/>
      <c r="E12" s="29"/>
      <c r="F12" s="30" t="str">
        <f t="shared" si="0"/>
        <v/>
      </c>
      <c r="G12" s="5"/>
    </row>
    <row r="13" spans="2:12" ht="25.5" customHeight="1" x14ac:dyDescent="0.3">
      <c r="B13" s="32"/>
      <c r="C13" s="29"/>
      <c r="D13" s="29"/>
      <c r="E13" s="29"/>
      <c r="F13" s="30" t="str">
        <f t="shared" si="0"/>
        <v/>
      </c>
      <c r="G13" s="5"/>
    </row>
    <row r="14" spans="2:12" ht="25.5" customHeight="1" x14ac:dyDescent="0.3">
      <c r="B14" s="32"/>
      <c r="C14" s="29"/>
      <c r="D14" s="29"/>
      <c r="E14" s="29"/>
      <c r="F14" s="30" t="str">
        <f t="shared" si="0"/>
        <v/>
      </c>
      <c r="G14" s="5"/>
    </row>
    <row r="15" spans="2:12" ht="25.5" customHeight="1" x14ac:dyDescent="0.3">
      <c r="B15" s="32"/>
      <c r="C15" s="29"/>
      <c r="D15" s="29"/>
      <c r="E15" s="29"/>
      <c r="F15" s="30" t="str">
        <f t="shared" si="0"/>
        <v/>
      </c>
      <c r="G15" s="5"/>
    </row>
    <row r="16" spans="2:12" ht="25.5" customHeight="1" x14ac:dyDescent="0.3">
      <c r="B16" s="32"/>
      <c r="C16" s="29"/>
      <c r="D16" s="29"/>
      <c r="E16" s="29"/>
      <c r="F16" s="30" t="str">
        <f t="shared" si="0"/>
        <v/>
      </c>
      <c r="G16" s="5"/>
    </row>
    <row r="17" spans="2:7" ht="26.25" customHeight="1" thickBot="1" x14ac:dyDescent="0.35">
      <c r="B17" s="7"/>
      <c r="C17" s="8"/>
      <c r="D17" s="39" t="s">
        <v>6</v>
      </c>
      <c r="E17" s="40"/>
      <c r="F17" s="41">
        <f>SUM(F9:F16)</f>
        <v>0</v>
      </c>
      <c r="G17" s="5"/>
    </row>
    <row r="18" spans="2:7" ht="27" customHeight="1" x14ac:dyDescent="0.3">
      <c r="B18" s="52" t="s">
        <v>7</v>
      </c>
      <c r="C18" s="53"/>
      <c r="D18" s="9" t="str">
        <f>IF(E18="","","Discount")</f>
        <v/>
      </c>
      <c r="E18" s="49"/>
      <c r="F18" s="10">
        <f>F17*E18</f>
        <v>0</v>
      </c>
      <c r="G18" s="5"/>
    </row>
    <row r="19" spans="2:7" ht="27" customHeight="1" x14ac:dyDescent="0.3">
      <c r="B19" s="54"/>
      <c r="C19" s="55"/>
      <c r="D19" s="4" t="s">
        <v>8</v>
      </c>
      <c r="E19" s="50"/>
      <c r="F19" s="38">
        <f>F17*E19</f>
        <v>0</v>
      </c>
      <c r="G19" s="5"/>
    </row>
    <row r="20" spans="2:7" ht="27" customHeight="1" thickBot="1" x14ac:dyDescent="0.35">
      <c r="B20" s="55"/>
      <c r="C20" s="55"/>
      <c r="D20" s="7" t="s">
        <v>9</v>
      </c>
      <c r="E20" s="51"/>
      <c r="F20" s="42">
        <f>F17*E20</f>
        <v>0</v>
      </c>
      <c r="G20" s="5"/>
    </row>
    <row r="21" spans="2:7" s="6" customFormat="1" ht="36.75" customHeight="1" thickBot="1" x14ac:dyDescent="0.3">
      <c r="B21" s="55"/>
      <c r="C21" s="55"/>
      <c r="D21" s="11" t="s">
        <v>10</v>
      </c>
      <c r="E21" s="12"/>
      <c r="F21" s="13">
        <f>F17+F19+F20-F18</f>
        <v>0</v>
      </c>
    </row>
    <row r="22" spans="2:7" x14ac:dyDescent="0.25">
      <c r="B22" s="55"/>
      <c r="C22" s="55"/>
      <c r="F22" s="14"/>
    </row>
    <row r="23" spans="2:7" ht="21.75" customHeight="1" thickBot="1" x14ac:dyDescent="0.3">
      <c r="B23" s="56"/>
      <c r="C23" s="56"/>
    </row>
    <row r="24" spans="2:7" ht="21.75" customHeight="1" thickBot="1" x14ac:dyDescent="0.3">
      <c r="B24" s="57"/>
      <c r="C24" s="58"/>
      <c r="D24" s="58"/>
      <c r="E24" s="58"/>
      <c r="F24" s="59"/>
    </row>
    <row r="25" spans="2:7" ht="20.25" customHeight="1" x14ac:dyDescent="0.25">
      <c r="B25" s="16"/>
      <c r="C25" s="17"/>
      <c r="D25" s="17"/>
      <c r="E25" s="17"/>
      <c r="F25" s="18"/>
    </row>
    <row r="26" spans="2:7" s="2" customFormat="1" ht="15" x14ac:dyDescent="0.2">
      <c r="B26" s="19"/>
      <c r="C26" s="19"/>
      <c r="D26" s="19"/>
      <c r="E26" s="19"/>
      <c r="F26" s="19"/>
    </row>
    <row r="27" spans="2:7" s="2" customFormat="1" ht="15" x14ac:dyDescent="0.2">
      <c r="B27" s="20" t="s">
        <v>11</v>
      </c>
      <c r="C27" s="19"/>
      <c r="D27" s="19"/>
      <c r="E27" s="19"/>
      <c r="F27" s="19"/>
    </row>
    <row r="28" spans="2:7" s="2" customFormat="1" ht="15" x14ac:dyDescent="0.2">
      <c r="B28" s="19"/>
      <c r="C28" s="19"/>
      <c r="D28" s="19"/>
      <c r="E28" s="19"/>
      <c r="F28" s="19"/>
    </row>
    <row r="29" spans="2:7" s="2" customFormat="1" ht="15" customHeight="1" x14ac:dyDescent="0.2">
      <c r="B29" s="19"/>
      <c r="C29" s="19"/>
      <c r="D29" s="19"/>
      <c r="E29" s="19"/>
      <c r="F29" s="19"/>
    </row>
    <row r="30" spans="2:7" s="2" customFormat="1" ht="15" customHeight="1" x14ac:dyDescent="0.2">
      <c r="B30" s="19"/>
      <c r="C30" s="19"/>
      <c r="D30" s="19"/>
      <c r="E30" s="19"/>
      <c r="F30" s="19"/>
    </row>
    <row r="31" spans="2:7" s="2" customFormat="1" ht="15" customHeight="1" x14ac:dyDescent="0.25">
      <c r="C31" s="20"/>
      <c r="D31" s="1"/>
    </row>
    <row r="32" spans="2:7" ht="15.75" x14ac:dyDescent="0.25">
      <c r="B32" s="21" t="s">
        <v>12</v>
      </c>
    </row>
    <row r="33" s="1" customFormat="1" x14ac:dyDescent="0.25"/>
  </sheetData>
  <mergeCells count="10">
    <mergeCell ref="B2:C2"/>
    <mergeCell ref="D2:E2"/>
    <mergeCell ref="B3:F3"/>
    <mergeCell ref="C4:D4"/>
    <mergeCell ref="E4:F4"/>
    <mergeCell ref="B18:C23"/>
    <mergeCell ref="B24:F24"/>
    <mergeCell ref="C5:F5"/>
    <mergeCell ref="C6:F6"/>
    <mergeCell ref="C7:F7"/>
  </mergeCells>
  <pageMargins left="0.7" right="0.7" top="0.75" bottom="0.75" header="0.3" footer="0.3"/>
  <pageSetup paperSize="9" scale="6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6"/>
  <sheetViews>
    <sheetView workbookViewId="0">
      <selection activeCell="B9" sqref="B9"/>
    </sheetView>
  </sheetViews>
  <sheetFormatPr defaultRowHeight="15" x14ac:dyDescent="0.25"/>
  <cols>
    <col min="1" max="1" width="11" bestFit="1" customWidth="1"/>
    <col min="2" max="2" width="10.85546875" customWidth="1"/>
    <col min="3" max="3" width="15.42578125" bestFit="1" customWidth="1"/>
    <col min="4" max="4" width="17.42578125" bestFit="1" customWidth="1"/>
    <col min="5" max="5" width="16.5703125" bestFit="1" customWidth="1"/>
    <col min="6" max="6" width="13.7109375" bestFit="1" customWidth="1"/>
    <col min="7" max="7" width="6.42578125" customWidth="1"/>
    <col min="8" max="8" width="6.28515625" customWidth="1"/>
    <col min="9" max="9" width="8.7109375" style="44" bestFit="1" customWidth="1"/>
    <col min="10" max="10" width="8.42578125" customWidth="1"/>
    <col min="11" max="11" width="13.7109375" bestFit="1" customWidth="1"/>
    <col min="12" max="12" width="13.140625" bestFit="1" customWidth="1"/>
  </cols>
  <sheetData>
    <row r="1" spans="1:12" ht="30" x14ac:dyDescent="0.25">
      <c r="A1" s="36" t="s">
        <v>35</v>
      </c>
      <c r="B1" s="36" t="s">
        <v>18</v>
      </c>
      <c r="C1" s="36" t="s">
        <v>33</v>
      </c>
      <c r="D1" s="36" t="s">
        <v>19</v>
      </c>
      <c r="E1" s="36" t="s">
        <v>24</v>
      </c>
      <c r="F1" s="36" t="s">
        <v>25</v>
      </c>
      <c r="G1" s="36" t="s">
        <v>4</v>
      </c>
      <c r="H1" s="36" t="s">
        <v>20</v>
      </c>
      <c r="I1" s="36" t="s">
        <v>23</v>
      </c>
      <c r="J1" s="36" t="s">
        <v>5</v>
      </c>
      <c r="K1" s="37" t="s">
        <v>21</v>
      </c>
      <c r="L1" s="36" t="s">
        <v>22</v>
      </c>
    </row>
    <row r="2" spans="1:12" x14ac:dyDescent="0.25">
      <c r="A2">
        <v>2041307</v>
      </c>
      <c r="B2" s="47">
        <v>44231</v>
      </c>
      <c r="C2" t="s">
        <v>36</v>
      </c>
      <c r="D2" t="s">
        <v>37</v>
      </c>
      <c r="E2">
        <v>9632587412</v>
      </c>
      <c r="F2" t="s">
        <v>27</v>
      </c>
      <c r="G2">
        <v>400</v>
      </c>
      <c r="H2" s="46">
        <v>2</v>
      </c>
      <c r="I2" s="43">
        <v>0.11</v>
      </c>
      <c r="J2">
        <v>800</v>
      </c>
      <c r="K2" s="43">
        <v>0.18</v>
      </c>
    </row>
    <row r="3" spans="1:12" x14ac:dyDescent="0.25">
      <c r="A3">
        <v>2041307</v>
      </c>
      <c r="B3" s="47">
        <v>44231</v>
      </c>
      <c r="C3" t="s">
        <v>36</v>
      </c>
      <c r="D3" t="s">
        <v>37</v>
      </c>
      <c r="E3">
        <v>9632587412</v>
      </c>
      <c r="F3" t="s">
        <v>30</v>
      </c>
      <c r="G3">
        <v>2500</v>
      </c>
      <c r="H3">
        <v>4</v>
      </c>
      <c r="I3" s="44">
        <v>0.11</v>
      </c>
      <c r="J3">
        <v>10000</v>
      </c>
      <c r="K3" s="43">
        <v>0.18</v>
      </c>
    </row>
    <row r="4" spans="1:12" x14ac:dyDescent="0.25">
      <c r="A4">
        <v>2041307</v>
      </c>
      <c r="B4" s="47">
        <v>44231</v>
      </c>
      <c r="C4" t="s">
        <v>36</v>
      </c>
      <c r="D4" t="s">
        <v>37</v>
      </c>
      <c r="E4">
        <v>9632587412</v>
      </c>
      <c r="F4" t="s">
        <v>32</v>
      </c>
      <c r="G4">
        <v>2500</v>
      </c>
      <c r="H4">
        <v>9</v>
      </c>
      <c r="I4" s="44">
        <v>0.11</v>
      </c>
      <c r="J4">
        <v>22500</v>
      </c>
      <c r="K4" s="43">
        <v>0.18</v>
      </c>
    </row>
    <row r="5" spans="1:12" x14ac:dyDescent="0.25">
      <c r="A5">
        <v>2041324</v>
      </c>
      <c r="B5" s="47">
        <v>44231</v>
      </c>
      <c r="C5" t="s">
        <v>38</v>
      </c>
      <c r="D5" t="s">
        <v>39</v>
      </c>
      <c r="E5">
        <v>9865321475</v>
      </c>
      <c r="F5" t="s">
        <v>27</v>
      </c>
      <c r="G5">
        <v>400</v>
      </c>
      <c r="H5">
        <v>2</v>
      </c>
      <c r="I5" s="44">
        <v>0.11</v>
      </c>
      <c r="J5">
        <v>800</v>
      </c>
      <c r="K5" s="43">
        <v>0.18</v>
      </c>
    </row>
    <row r="6" spans="1:12" x14ac:dyDescent="0.25">
      <c r="A6">
        <v>2041324</v>
      </c>
      <c r="B6" s="47">
        <v>44231</v>
      </c>
      <c r="C6" t="s">
        <v>38</v>
      </c>
      <c r="D6" t="s">
        <v>39</v>
      </c>
      <c r="E6">
        <v>9865321475</v>
      </c>
      <c r="F6" t="s">
        <v>30</v>
      </c>
      <c r="G6">
        <v>2500</v>
      </c>
      <c r="H6">
        <v>1</v>
      </c>
      <c r="I6" s="44">
        <v>0.11</v>
      </c>
      <c r="J6">
        <v>2500</v>
      </c>
      <c r="K6" s="43">
        <v>0.18</v>
      </c>
    </row>
    <row r="7" spans="1:12" x14ac:dyDescent="0.25">
      <c r="A7">
        <v>2041325</v>
      </c>
      <c r="B7" s="47">
        <v>44231</v>
      </c>
      <c r="C7" t="s">
        <v>38</v>
      </c>
      <c r="D7" t="s">
        <v>39</v>
      </c>
      <c r="E7">
        <v>9865321475</v>
      </c>
      <c r="F7" t="s">
        <v>32</v>
      </c>
      <c r="G7">
        <v>2500</v>
      </c>
      <c r="H7">
        <v>2</v>
      </c>
      <c r="I7" s="44">
        <v>0.11</v>
      </c>
      <c r="J7">
        <v>5000</v>
      </c>
      <c r="K7">
        <v>0.18</v>
      </c>
    </row>
    <row r="8" spans="1:12" x14ac:dyDescent="0.25">
      <c r="A8">
        <v>2041325</v>
      </c>
      <c r="B8" s="47">
        <v>44231</v>
      </c>
      <c r="C8" t="s">
        <v>38</v>
      </c>
      <c r="D8" t="s">
        <v>39</v>
      </c>
      <c r="E8">
        <v>9865321475</v>
      </c>
      <c r="F8" t="s">
        <v>29</v>
      </c>
      <c r="G8">
        <v>45000</v>
      </c>
      <c r="H8">
        <v>1</v>
      </c>
      <c r="I8" s="44">
        <v>0.11</v>
      </c>
      <c r="J8">
        <v>45000</v>
      </c>
      <c r="K8">
        <v>0.18</v>
      </c>
    </row>
    <row r="9" spans="1:12" x14ac:dyDescent="0.25">
      <c r="A9">
        <v>2042241</v>
      </c>
      <c r="B9" s="47" t="s">
        <v>31</v>
      </c>
      <c r="C9" t="s">
        <v>40</v>
      </c>
      <c r="D9">
        <v>4</v>
      </c>
      <c r="E9">
        <v>1500</v>
      </c>
      <c r="F9" t="s">
        <v>34</v>
      </c>
      <c r="G9">
        <v>5500</v>
      </c>
      <c r="H9">
        <v>3</v>
      </c>
      <c r="I9" s="44">
        <v>0.12</v>
      </c>
      <c r="J9">
        <v>16500</v>
      </c>
      <c r="K9">
        <v>0.18</v>
      </c>
    </row>
    <row r="10" spans="1:12" x14ac:dyDescent="0.25">
      <c r="A10">
        <v>2042243</v>
      </c>
      <c r="B10" s="47">
        <v>44231</v>
      </c>
      <c r="C10" t="s">
        <v>41</v>
      </c>
      <c r="D10" t="s">
        <v>42</v>
      </c>
      <c r="E10">
        <v>4564654654</v>
      </c>
      <c r="F10" t="s">
        <v>34</v>
      </c>
      <c r="G10">
        <v>5500</v>
      </c>
      <c r="H10">
        <v>2</v>
      </c>
      <c r="I10" s="44">
        <v>0.11</v>
      </c>
      <c r="J10">
        <v>11000</v>
      </c>
      <c r="K10" s="43"/>
    </row>
    <row r="11" spans="1:12" x14ac:dyDescent="0.25">
      <c r="A11">
        <v>2042243</v>
      </c>
      <c r="B11" s="47">
        <v>44231</v>
      </c>
      <c r="C11" t="s">
        <v>41</v>
      </c>
      <c r="D11" t="s">
        <v>42</v>
      </c>
      <c r="E11">
        <v>4564654654</v>
      </c>
      <c r="F11" t="s">
        <v>30</v>
      </c>
      <c r="G11">
        <v>2500</v>
      </c>
      <c r="H11">
        <v>4</v>
      </c>
      <c r="I11" s="44">
        <v>0.11</v>
      </c>
      <c r="J11">
        <v>10000</v>
      </c>
    </row>
    <row r="12" spans="1:12" x14ac:dyDescent="0.25">
      <c r="A12">
        <v>2042249</v>
      </c>
      <c r="B12" s="47">
        <v>44231</v>
      </c>
      <c r="C12">
        <v>95959</v>
      </c>
      <c r="D12">
        <v>595959</v>
      </c>
      <c r="E12">
        <v>595959</v>
      </c>
      <c r="F12" t="s">
        <v>31</v>
      </c>
      <c r="G12">
        <v>1500</v>
      </c>
      <c r="H12">
        <v>4</v>
      </c>
      <c r="I12" s="44">
        <v>0.11</v>
      </c>
      <c r="J12">
        <v>6000</v>
      </c>
      <c r="K12" s="43">
        <v>0.18</v>
      </c>
    </row>
    <row r="13" spans="1:12" x14ac:dyDescent="0.25">
      <c r="A13">
        <v>2042253</v>
      </c>
      <c r="B13" s="47">
        <v>44231</v>
      </c>
      <c r="C13" t="s">
        <v>43</v>
      </c>
      <c r="D13" t="s">
        <v>44</v>
      </c>
      <c r="E13">
        <v>34567890</v>
      </c>
      <c r="F13" t="s">
        <v>27</v>
      </c>
      <c r="G13">
        <v>400</v>
      </c>
      <c r="H13">
        <v>7</v>
      </c>
      <c r="I13" s="44">
        <v>7.0000000000000007E-2</v>
      </c>
      <c r="J13">
        <v>2800</v>
      </c>
      <c r="K13">
        <v>0.18</v>
      </c>
    </row>
    <row r="14" spans="1:12" x14ac:dyDescent="0.25">
      <c r="A14">
        <v>2042253</v>
      </c>
      <c r="B14" s="47">
        <v>44231</v>
      </c>
      <c r="C14" t="s">
        <v>43</v>
      </c>
      <c r="D14" t="s">
        <v>44</v>
      </c>
      <c r="E14">
        <v>34567890</v>
      </c>
      <c r="I14" s="44">
        <v>7.0000000000000007E-2</v>
      </c>
      <c r="K14">
        <v>0.18</v>
      </c>
    </row>
    <row r="15" spans="1:12" x14ac:dyDescent="0.25">
      <c r="A15">
        <v>2042257</v>
      </c>
      <c r="B15" s="47">
        <v>44231</v>
      </c>
      <c r="C15" t="s">
        <v>45</v>
      </c>
      <c r="D15" t="s">
        <v>46</v>
      </c>
      <c r="E15" t="s">
        <v>47</v>
      </c>
      <c r="F15" t="s">
        <v>32</v>
      </c>
      <c r="G15">
        <v>2500</v>
      </c>
      <c r="H15">
        <v>2</v>
      </c>
      <c r="I15" s="44">
        <v>0.11</v>
      </c>
      <c r="J15">
        <v>5000</v>
      </c>
      <c r="K15">
        <v>0.18</v>
      </c>
    </row>
    <row r="16" spans="1:12" x14ac:dyDescent="0.25">
      <c r="A16">
        <v>2042300</v>
      </c>
      <c r="B16" s="47">
        <v>44231</v>
      </c>
      <c r="C16" t="s">
        <v>48</v>
      </c>
      <c r="D16" t="s">
        <v>49</v>
      </c>
      <c r="E16">
        <v>9865321475</v>
      </c>
      <c r="F16" t="s">
        <v>27</v>
      </c>
      <c r="G16">
        <v>400</v>
      </c>
      <c r="H16">
        <v>4</v>
      </c>
      <c r="I16" s="44">
        <v>0.15</v>
      </c>
      <c r="J16">
        <v>1600</v>
      </c>
      <c r="K16">
        <v>0.18</v>
      </c>
    </row>
    <row r="17" spans="1:11" x14ac:dyDescent="0.25">
      <c r="A17">
        <v>2042300</v>
      </c>
      <c r="B17" s="47">
        <v>44231</v>
      </c>
      <c r="C17" t="s">
        <v>48</v>
      </c>
      <c r="D17" t="s">
        <v>49</v>
      </c>
      <c r="E17">
        <v>9865321475</v>
      </c>
      <c r="F17" t="s">
        <v>28</v>
      </c>
      <c r="G17">
        <v>12000</v>
      </c>
      <c r="H17">
        <v>7</v>
      </c>
      <c r="I17" s="44">
        <v>0.15</v>
      </c>
      <c r="J17">
        <v>84000</v>
      </c>
      <c r="K17">
        <v>0.18</v>
      </c>
    </row>
    <row r="18" spans="1:11" x14ac:dyDescent="0.25">
      <c r="A18">
        <v>2042300</v>
      </c>
      <c r="B18" s="47">
        <v>44231</v>
      </c>
      <c r="C18" t="s">
        <v>48</v>
      </c>
      <c r="D18" t="s">
        <v>49</v>
      </c>
      <c r="E18">
        <v>9865321475</v>
      </c>
      <c r="F18" t="s">
        <v>34</v>
      </c>
      <c r="G18">
        <v>5500</v>
      </c>
      <c r="H18">
        <v>5</v>
      </c>
      <c r="I18" s="44">
        <v>0.15</v>
      </c>
      <c r="J18">
        <v>27500</v>
      </c>
      <c r="K18">
        <v>0.18</v>
      </c>
    </row>
    <row r="19" spans="1:11" x14ac:dyDescent="0.25">
      <c r="A19">
        <v>2042300</v>
      </c>
      <c r="B19" s="47">
        <v>44231</v>
      </c>
      <c r="C19" t="s">
        <v>48</v>
      </c>
      <c r="D19" t="s">
        <v>49</v>
      </c>
      <c r="E19">
        <v>9865321475</v>
      </c>
      <c r="F19" t="s">
        <v>31</v>
      </c>
      <c r="G19">
        <v>1500</v>
      </c>
      <c r="H19">
        <v>7</v>
      </c>
      <c r="I19" s="44">
        <v>0.15</v>
      </c>
      <c r="J19">
        <v>10500</v>
      </c>
      <c r="K19">
        <v>0.18</v>
      </c>
    </row>
    <row r="20" spans="1:11" x14ac:dyDescent="0.25">
      <c r="A20">
        <v>2042306</v>
      </c>
      <c r="B20" s="47">
        <v>44231</v>
      </c>
      <c r="C20" t="s">
        <v>50</v>
      </c>
      <c r="D20" t="s">
        <v>51</v>
      </c>
      <c r="E20">
        <v>963258741</v>
      </c>
      <c r="F20" t="s">
        <v>29</v>
      </c>
      <c r="G20">
        <v>45000</v>
      </c>
      <c r="H20">
        <v>2</v>
      </c>
      <c r="I20" s="44">
        <v>0.15</v>
      </c>
      <c r="J20">
        <v>90000</v>
      </c>
      <c r="K20">
        <v>0.18</v>
      </c>
    </row>
    <row r="21" spans="1:11" x14ac:dyDescent="0.25">
      <c r="A21">
        <v>2042316</v>
      </c>
      <c r="B21" s="47">
        <v>44231</v>
      </c>
      <c r="C21" t="s">
        <v>52</v>
      </c>
      <c r="D21" t="s">
        <v>53</v>
      </c>
      <c r="E21">
        <v>9865321475</v>
      </c>
      <c r="F21" t="s">
        <v>27</v>
      </c>
      <c r="G21">
        <v>400</v>
      </c>
      <c r="H21">
        <v>2</v>
      </c>
      <c r="I21" s="44">
        <v>0.1</v>
      </c>
      <c r="J21">
        <v>800</v>
      </c>
      <c r="K21">
        <v>0.18</v>
      </c>
    </row>
    <row r="22" spans="1:11" x14ac:dyDescent="0.25">
      <c r="A22">
        <v>2042316</v>
      </c>
      <c r="B22" s="47">
        <v>44231</v>
      </c>
      <c r="C22" t="s">
        <v>52</v>
      </c>
      <c r="D22" t="s">
        <v>53</v>
      </c>
      <c r="E22">
        <v>9865321475</v>
      </c>
      <c r="F22" t="s">
        <v>29</v>
      </c>
      <c r="G22">
        <v>45000</v>
      </c>
      <c r="H22">
        <v>3</v>
      </c>
      <c r="I22" s="44">
        <v>0.1</v>
      </c>
      <c r="J22">
        <v>135000</v>
      </c>
      <c r="K22">
        <v>0.18</v>
      </c>
    </row>
    <row r="23" spans="1:11" x14ac:dyDescent="0.25">
      <c r="A23">
        <v>2042316</v>
      </c>
      <c r="B23" s="47">
        <v>44231</v>
      </c>
      <c r="C23" t="s">
        <v>52</v>
      </c>
      <c r="D23" t="s">
        <v>53</v>
      </c>
      <c r="E23">
        <v>9865321475</v>
      </c>
      <c r="F23" t="s">
        <v>31</v>
      </c>
      <c r="G23">
        <v>1500</v>
      </c>
      <c r="H23">
        <v>5</v>
      </c>
      <c r="I23" s="44">
        <v>0.1</v>
      </c>
      <c r="J23">
        <v>7500</v>
      </c>
      <c r="K23">
        <v>0.18</v>
      </c>
    </row>
    <row r="24" spans="1:11" x14ac:dyDescent="0.25">
      <c r="A24">
        <v>2042316</v>
      </c>
      <c r="B24" s="47">
        <v>44231</v>
      </c>
      <c r="C24" t="s">
        <v>52</v>
      </c>
      <c r="D24" t="s">
        <v>53</v>
      </c>
      <c r="E24">
        <v>9865321475</v>
      </c>
      <c r="F24" t="s">
        <v>30</v>
      </c>
      <c r="G24">
        <v>2500</v>
      </c>
      <c r="H24">
        <v>7</v>
      </c>
      <c r="I24" s="44">
        <v>0.1</v>
      </c>
      <c r="J24">
        <v>17500</v>
      </c>
      <c r="K24">
        <v>0.18</v>
      </c>
    </row>
    <row r="25" spans="1:11" x14ac:dyDescent="0.25">
      <c r="B25" s="47"/>
    </row>
    <row r="26" spans="1:11" x14ac:dyDescent="0.25">
      <c r="B26" s="4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Form_Entry</vt:lpstr>
      <vt:lpstr>Bill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ANKIT</dc:creator>
  <cp:lastModifiedBy>Anki kum</cp:lastModifiedBy>
  <cp:lastPrinted>2021-04-02T17:47:20Z</cp:lastPrinted>
  <dcterms:created xsi:type="dcterms:W3CDTF">2021-03-27T14:18:41Z</dcterms:created>
  <dcterms:modified xsi:type="dcterms:W3CDTF">2022-05-27T09:03:26Z</dcterms:modified>
</cp:coreProperties>
</file>